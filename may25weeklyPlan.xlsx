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04- to 08-05-2026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<sst xmlns="http://schemas.openxmlformats.org/spreadsheetml/2006/main" count="25" uniqueCount="25">
  <si>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Name:</t>
  </si>
  <si>
    <t xml:space="preserve">Melaku Terefe</t>
  </si>
  <si>
    <t xml:space="preserve">በሳምንቱ ክትትል የሚያስፈልጋቸው ስራዎች  (25-05-2026 to 29-05-2026)</t>
  </si>
  <si>
    <t xml:space="preserve">እቅድ (የሚሸፍነው ግዜ፡ 1 ሳምንት)  (04-05-2026 to 08-05-2026)</t>
  </si>
  <si>
    <t xml:space="preserve">የመንግስትን የሥራ ሰዓት አጠቃቀም  ክብደት (የ1 ቀን)</t>
  </si>
  <si>
    <t xml:space="preserve">የመንግስትን የሥራ ሰዓት አጠቃቀም አፈጻጸም (የ1 ቀን)</t>
  </si>
  <si>
    <t xml:space="preserve">እቅድ ክብደት (የ 1 ቀን)</t>
  </si>
  <si>
    <t xml:space="preserve">እቅድ አፈጻጸም (የ 1 ቀን)</t>
  </si>
  <si>
    <t xml:space="preserve">Date (mm.dd.yy)</t>
  </si>
  <si>
    <t xml:space="preserve">ስራው የሚፈጀው ሰዓት</t>
  </si>
  <si>
    <t xml:space="preserve">ዋና ዋና ተግባራት</t>
  </si>
  <si>
    <t xml:space="preserve">እቅድ (የሳምንቱ)</t>
  </si>
  <si>
    <t xml:space="preserve">አፈጻጸም (የሳምንቱ)</t>
  </si>
  <si>
    <t xml:space="preserve">አስተያየት /የተገኘ ውጤት፣ የደረሰ ጉዳት፣ ያጋጠመ ችግር.../</t>
  </si>
  <si>
    <t>ክብደት</t>
  </si>
  <si>
    <t xml:space="preserve">የስራው ክብደት</t>
  </si>
  <si>
    <t xml:space="preserve">የአፈጻጸም ክብደት</t>
  </si>
  <si>
    <t xml:space="preserve">Preparing weekly plan and report</t>
  </si>
  <si>
    <t xml:space="preserve">Prepared plan</t>
  </si>
  <si>
    <t xml:space="preserve">Counting equipment supplied with the instrument.</t>
  </si>
  <si>
    <t xml:space="preserve">Assigning ID to all equipment.</t>
  </si>
  <si>
    <t xml:space="preserve">Cleaning the instruments.</t>
  </si>
  <si>
    <t xml:space="preserve">Continuing work on the logbook website.</t>
  </si>
  <si>
    <t xml:space="preserve">Reading about GC instruments and research papers.</t>
  </si>
  <si>
    <t xml:space="preserve">Following instrument maintenance.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</si>
</sst>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%"/>
    <numFmt numFmtId="166" formatCode="0.0000"/>
    <numFmt numFmtId="167" formatCode="mm/dd/yy;@"/>
  </numFmts>
  <fonts count="12">
    <font>
      <sz val="11.000000"/>
      <color theme="1"/>
      <name val="Calibri"/>
      <scheme val="minor"/>
    </font>
    <font>
      <sz val="12.000000"/>
      <color theme="1"/>
      <name val="Times New Roman"/>
    </font>
    <font>
      <sz val="12.000000"/>
      <name val="Times New Roman"/>
    </font>
    <font>
      <sz val="16.000000"/>
      <color theme="1"/>
      <name val="Times New Roman"/>
    </font>
    <font>
      <b/>
      <sz val="16.000000"/>
      <color theme="1"/>
      <name val="Times New Roman"/>
    </font>
    <font>
      <sz val="16.000000"/>
      <name val="Times New Roman"/>
    </font>
    <font>
      <b/>
      <i/>
      <sz val="12.000000"/>
      <color theme="1"/>
      <name val="Times New Roman"/>
    </font>
    <font>
      <b/>
      <i/>
      <sz val="11.000000"/>
      <color theme="1"/>
      <name val="Times New Roman"/>
    </font>
    <font>
      <b/>
      <sz val="12.000000"/>
      <color theme="1"/>
      <name val="Times New Roman"/>
    </font>
    <font>
      <b/>
      <sz val="12.000000"/>
      <name val="Times New Roman"/>
    </font>
    <font>
      <sz val="12.000000"/>
      <name val="Power Geez Unicode1"/>
    </font>
    <font>
      <sz val="12.000000"/>
      <color theme="1"/>
      <name val="Power Geez Unicode1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</patternFill>
    </fill>
    <fill>
      <patternFill patternType="solid">
        <fgColor theme="9" tint="0.59999389629810485"/>
      </patternFill>
    </fill>
    <fill>
      <patternFill patternType="solid">
        <fgColor theme="0"/>
      </patternFill>
    </fill>
    <fill>
      <patternFill patternType="solid">
        <fgColor theme="6" tint="0.79995117038483843"/>
      </patternFill>
    </fill>
  </fills>
  <borders count="1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67">
    <xf fontId="0" fillId="0" borderId="0" numFmtId="0" xfId="0"/>
    <xf fontId="1" fillId="0" borderId="0" numFmtId="0" xfId="0" applyFont="1" applyAlignment="1" applyProtection="1">
      <alignment vertical="top"/>
      <protection locked="0"/>
    </xf>
    <xf fontId="1" fillId="0" borderId="0" numFmtId="0" xfId="0" applyFont="1" applyAlignment="1" applyProtection="1">
      <alignment horizontal="center" vertical="top"/>
      <protection locked="0"/>
    </xf>
    <xf fontId="1" fillId="0" borderId="0" numFmtId="0" xfId="0" applyFont="1" applyAlignment="1" applyProtection="1">
      <alignment vertical="top" wrapText="1"/>
      <protection locked="0"/>
    </xf>
    <xf fontId="1" fillId="0" borderId="0" numFmtId="0" xfId="0" applyFont="1" applyAlignment="1">
      <alignment vertical="top"/>
    </xf>
    <xf fontId="1" fillId="0" borderId="0" numFmtId="2" xfId="0" applyNumberFormat="1" applyFont="1" applyAlignment="1">
      <alignment horizontal="center" vertical="top"/>
    </xf>
    <xf fontId="2" fillId="0" borderId="0" numFmtId="0" xfId="0" applyFont="1" applyAlignment="1">
      <alignment horizontal="center" vertical="top" wrapText="1"/>
    </xf>
    <xf fontId="1" fillId="0" borderId="0" numFmtId="0" xfId="0" applyFont="1" applyAlignment="1" applyProtection="1">
      <alignment horizontal="left" vertical="top"/>
      <protection locked="0"/>
    </xf>
    <xf fontId="3" fillId="0" borderId="0" numFmtId="0" xfId="0" applyFont="1" applyAlignment="1" applyProtection="1">
      <alignment vertical="top"/>
      <protection locked="0"/>
    </xf>
    <xf fontId="3" fillId="0" borderId="0" numFmtId="0" xfId="0" applyFont="1" applyAlignment="1" applyProtection="1">
      <alignment horizontal="center" vertical="top"/>
      <protection locked="0"/>
    </xf>
    <xf fontId="4" fillId="0" borderId="0" numFmtId="0" xfId="0" applyFont="1" applyAlignment="1" applyProtection="1">
      <alignment horizontal="left" vertical="top"/>
      <protection locked="0"/>
    </xf>
    <xf fontId="4" fillId="0" borderId="0" numFmtId="0" xfId="0" applyFont="1" applyAlignment="1" applyProtection="1">
      <alignment horizontal="left" vertical="top" wrapText="1"/>
      <protection locked="0"/>
    </xf>
    <xf fontId="3" fillId="0" borderId="0" numFmtId="0" xfId="0" applyFont="1" applyAlignment="1" applyProtection="1">
      <alignment vertical="top" wrapText="1"/>
      <protection locked="0"/>
    </xf>
    <xf fontId="5" fillId="0" borderId="0" numFmtId="0" xfId="0" applyFont="1" applyAlignment="1">
      <alignment horizontal="center" vertical="top" wrapText="1"/>
    </xf>
    <xf fontId="3" fillId="0" borderId="0" numFmtId="0" xfId="0" applyFont="1" applyAlignment="1" applyProtection="1">
      <alignment horizontal="left" vertical="top"/>
      <protection locked="0"/>
    </xf>
    <xf fontId="3" fillId="0" borderId="0" numFmtId="0" xfId="0" applyFont="1" applyAlignment="1">
      <alignment vertical="top"/>
    </xf>
    <xf fontId="3" fillId="0" borderId="0" numFmtId="2" xfId="0" applyNumberFormat="1" applyFont="1" applyAlignment="1">
      <alignment horizontal="center" vertical="top"/>
    </xf>
    <xf fontId="1" fillId="0" borderId="0" numFmtId="0" xfId="0" applyFont="1" applyAlignment="1" applyProtection="1">
      <alignment horizontal="left" vertical="top" wrapText="1"/>
      <protection locked="0"/>
    </xf>
    <xf fontId="1" fillId="0" borderId="0" numFmtId="0" xfId="0" applyFont="1" applyAlignment="1" applyProtection="1">
      <alignment vertical="center"/>
      <protection locked="0"/>
    </xf>
    <xf fontId="1" fillId="0" borderId="0" numFmtId="0" xfId="0" applyFont="1" applyAlignment="1" applyProtection="1">
      <alignment horizontal="center" vertical="center"/>
      <protection locked="0"/>
    </xf>
    <xf fontId="6" fillId="0" borderId="1" numFmtId="0" xfId="0" applyFont="1" applyBorder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vertical="center"/>
      <protection locked="0"/>
    </xf>
    <xf fontId="7" fillId="2" borderId="2" numFmtId="0" xfId="0" applyFont="1" applyFill="1" applyBorder="1" applyAlignment="1" applyProtection="1">
      <alignment horizontal="center" vertical="center" wrapText="1"/>
      <protection locked="0"/>
    </xf>
    <xf fontId="7" fillId="2" borderId="3" numFmtId="0" xfId="0" applyFont="1" applyFill="1" applyBorder="1" applyAlignment="1" applyProtection="1">
      <alignment horizontal="center" vertical="center" wrapText="1"/>
      <protection locked="0"/>
    </xf>
    <xf fontId="7" fillId="2" borderId="3" numFmtId="9" xfId="0" applyNumberFormat="1" applyFont="1" applyFill="1" applyBorder="1" applyAlignment="1">
      <alignment horizontal="center" vertical="center" wrapText="1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3" numFmtId="2" xfId="0" applyNumberFormat="1" applyFont="1" applyFill="1" applyBorder="1" applyAlignment="1">
      <alignment horizontal="center" vertical="top" wrapText="1"/>
    </xf>
    <xf fontId="7" fillId="2" borderId="4" numFmtId="9" xfId="1" applyNumberFormat="1" applyFont="1" applyFill="1" applyBorder="1" applyAlignment="1" applyProtection="1">
      <alignment horizontal="center" vertical="center" wrapText="1"/>
    </xf>
    <xf fontId="7" fillId="2" borderId="5" numFmtId="0" xfId="0" applyFont="1" applyFill="1" applyBorder="1" applyAlignment="1" applyProtection="1">
      <alignment horizontal="center" vertical="center" wrapText="1"/>
      <protection locked="0"/>
    </xf>
    <xf fontId="7" fillId="2" borderId="6" numFmtId="0" xfId="0" applyFont="1" applyFill="1" applyBorder="1" applyAlignment="1" applyProtection="1">
      <alignment horizontal="center" vertical="center" wrapText="1"/>
      <protection locked="0"/>
    </xf>
    <xf fontId="7" fillId="2" borderId="6" numFmtId="9" xfId="0" applyNumberFormat="1" applyFont="1" applyFill="1" applyBorder="1" applyAlignment="1">
      <alignment horizontal="center" vertical="center" wrapText="1"/>
    </xf>
    <xf fontId="7" fillId="2" borderId="6" numFmtId="0" xfId="0" applyFont="1" applyFill="1" applyBorder="1" applyAlignment="1" applyProtection="1">
      <alignment horizontal="left" vertical="top" wrapText="1"/>
      <protection locked="0"/>
    </xf>
    <xf fontId="7" fillId="2" borderId="6" numFmtId="2" xfId="0" applyNumberFormat="1" applyFont="1" applyFill="1" applyBorder="1" applyAlignment="1">
      <alignment horizontal="center" vertical="top" wrapText="1"/>
    </xf>
    <xf fontId="7" fillId="2" borderId="7" numFmtId="9" xfId="1" applyNumberFormat="1" applyFont="1" applyFill="1" applyBorder="1" applyAlignment="1" applyProtection="1">
      <alignment horizontal="center" vertical="center" wrapText="1"/>
    </xf>
    <xf fontId="7" fillId="2" borderId="6" numFmtId="164" xfId="0" applyNumberFormat="1" applyFont="1" applyFill="1" applyBorder="1" applyAlignment="1">
      <alignment horizontal="center" vertical="top" wrapText="1"/>
    </xf>
    <xf fontId="7" fillId="2" borderId="7" numFmtId="165" xfId="1" applyNumberFormat="1" applyFont="1" applyFill="1" applyBorder="1" applyAlignment="1" applyProtection="1">
      <alignment horizontal="center" vertical="center" wrapText="1"/>
    </xf>
    <xf fontId="2" fillId="3" borderId="5" numFmtId="2" xfId="0" applyNumberFormat="1" applyFont="1" applyFill="1" applyBorder="1" applyAlignment="1">
      <alignment horizontal="center" vertical="top" wrapText="1"/>
    </xf>
    <xf fontId="2" fillId="3" borderId="8" numFmtId="2" xfId="0" applyNumberFormat="1" applyFont="1" applyFill="1" applyBorder="1" applyAlignment="1">
      <alignment horizontal="center" vertical="top" wrapText="1"/>
    </xf>
    <xf fontId="2" fillId="3" borderId="6" numFmtId="2" xfId="0" applyNumberFormat="1" applyFont="1" applyFill="1" applyBorder="1" applyAlignment="1">
      <alignment horizontal="center" vertical="center" wrapText="1"/>
    </xf>
    <xf fontId="2" fillId="3" borderId="7" numFmtId="2" xfId="0" applyNumberFormat="1" applyFont="1" applyFill="1" applyBorder="1" applyAlignment="1">
      <alignment horizontal="center" vertical="center" wrapText="1"/>
    </xf>
    <xf fontId="2" fillId="3" borderId="9" numFmtId="2" xfId="0" applyNumberFormat="1" applyFont="1" applyFill="1" applyBorder="1" applyAlignment="1">
      <alignment horizontal="center" vertical="top" wrapText="1"/>
    </xf>
    <xf fontId="2" fillId="3" borderId="10" numFmtId="2" xfId="0" applyNumberFormat="1" applyFont="1" applyFill="1" applyBorder="1" applyAlignment="1">
      <alignment horizontal="center" vertical="top" wrapText="1"/>
    </xf>
    <xf fontId="8" fillId="3" borderId="6" numFmtId="2" xfId="0" applyNumberFormat="1" applyFont="1" applyFill="1" applyBorder="1" applyAlignment="1" applyProtection="1">
      <alignment horizontal="center" vertical="top" wrapText="1"/>
      <protection locked="0"/>
    </xf>
    <xf fontId="2" fillId="3" borderId="6" numFmtId="9" xfId="1" applyNumberFormat="1" applyFont="1" applyFill="1" applyBorder="1" applyAlignment="1">
      <alignment horizontal="center" vertical="top" wrapText="1"/>
    </xf>
    <xf fontId="2" fillId="3" borderId="11" numFmtId="2" xfId="0" applyNumberFormat="1" applyFont="1" applyFill="1" applyBorder="1" applyAlignment="1">
      <alignment horizontal="center" vertical="top" wrapText="1"/>
    </xf>
    <xf fontId="1" fillId="0" borderId="5" numFmtId="0" xfId="0" applyFont="1" applyBorder="1" applyAlignment="1" applyProtection="1">
      <alignment horizontal="center" vertical="top"/>
      <protection locked="0"/>
    </xf>
    <xf fontId="2" fillId="0" borderId="6" numFmtId="2" xfId="0" applyNumberFormat="1" applyFont="1" applyBorder="1" applyAlignment="1" applyProtection="1">
      <alignment horizontal="center" vertical="top"/>
      <protection locked="0"/>
    </xf>
    <xf fontId="1" fillId="0" borderId="6" numFmtId="0" xfId="0" applyFont="1" applyBorder="1" applyAlignment="1" applyProtection="1">
      <alignment vertical="top" wrapText="1"/>
      <protection locked="0"/>
    </xf>
    <xf fontId="9" fillId="0" borderId="6" numFmtId="9" xfId="1" applyNumberFormat="1" applyFont="1" applyBorder="1" applyAlignment="1" applyProtection="1">
      <alignment horizontal="center" vertical="top"/>
    </xf>
    <xf fontId="2" fillId="0" borderId="6" numFmtId="0" xfId="0" applyFont="1" applyBorder="1" applyAlignment="1" applyProtection="1">
      <alignment horizontal="left" vertical="center" wrapText="1"/>
      <protection locked="0"/>
    </xf>
    <xf fontId="2" fillId="0" borderId="6" numFmtId="166" xfId="0" applyNumberFormat="1" applyFont="1" applyBorder="1" applyAlignment="1">
      <alignment horizontal="center" vertical="top" wrapText="1"/>
    </xf>
    <xf fontId="2" fillId="0" borderId="7" numFmtId="166" xfId="0" applyNumberFormat="1" applyFont="1" applyBorder="1" applyAlignment="1">
      <alignment horizontal="center" vertical="top" wrapText="1"/>
    </xf>
    <xf fontId="1" fillId="0" borderId="5" numFmtId="167" xfId="0" applyNumberFormat="1" applyFont="1" applyBorder="1" applyAlignment="1" applyProtection="1">
      <alignment horizontal="center" vertical="top" wrapText="1"/>
      <protection locked="0"/>
    </xf>
    <xf fontId="1" fillId="4" borderId="6" numFmtId="0" xfId="0" applyFont="1" applyFill="1" applyBorder="1" applyAlignment="1" applyProtection="1">
      <alignment vertical="top" wrapText="1"/>
      <protection locked="0"/>
    </xf>
    <xf fontId="2" fillId="0" borderId="6" numFmtId="0" xfId="0" applyFont="1" applyBorder="1" applyAlignment="1" applyProtection="1">
      <alignment vertical="top" wrapText="1"/>
      <protection locked="0"/>
    </xf>
    <xf fontId="10" fillId="0" borderId="8" numFmtId="0" xfId="0" applyFont="1" applyBorder="1" applyAlignment="1" applyProtection="1">
      <alignment vertical="top" wrapText="1"/>
      <protection locked="0"/>
    </xf>
    <xf fontId="11" fillId="0" borderId="6" numFmtId="0" xfId="0" applyFont="1" applyBorder="1" applyAlignment="1">
      <alignment vertical="top" wrapText="1"/>
    </xf>
    <xf fontId="2" fillId="0" borderId="6" numFmtId="2" xfId="0" applyNumberFormat="1" applyFont="1" applyBorder="1" applyAlignment="1">
      <alignment horizontal="center" vertical="top" wrapText="1"/>
    </xf>
    <xf fontId="2" fillId="0" borderId="7" numFmtId="2" xfId="0" applyNumberFormat="1" applyFont="1" applyBorder="1" applyAlignment="1">
      <alignment horizontal="center" vertical="top" wrapText="1"/>
    </xf>
    <xf fontId="2" fillId="0" borderId="6" numFmtId="0" xfId="0" applyFont="1" applyBorder="1" applyAlignment="1" applyProtection="1">
      <alignment horizontal="center" vertical="top"/>
      <protection locked="0"/>
    </xf>
    <xf fontId="1" fillId="0" borderId="0" numFmtId="0" xfId="0" applyFont="1" applyAlignment="1" applyProtection="1">
      <alignment horizontal="center" vertical="top" wrapText="1"/>
      <protection locked="0"/>
    </xf>
    <xf fontId="1" fillId="0" borderId="12" numFmtId="0" xfId="0" applyFont="1" applyBorder="1" applyAlignment="1" applyProtection="1">
      <alignment horizontal="center" vertical="top"/>
      <protection locked="0"/>
    </xf>
    <xf fontId="1" fillId="0" borderId="13" numFmtId="0" xfId="0" applyFont="1" applyBorder="1" applyAlignment="1" applyProtection="1">
      <alignment horizontal="center" vertical="top"/>
      <protection locked="0"/>
    </xf>
    <xf fontId="1" fillId="5" borderId="13" numFmtId="0" xfId="0" applyFont="1" applyFill="1" applyBorder="1" applyAlignment="1" applyProtection="1">
      <alignment vertical="top" wrapText="1"/>
      <protection locked="0"/>
    </xf>
    <xf fontId="8" fillId="5" borderId="13" numFmtId="9" xfId="1" applyNumberFormat="1" applyFont="1" applyFill="1" applyBorder="1" applyAlignment="1" applyProtection="1">
      <alignment horizontal="center" vertical="top"/>
    </xf>
    <xf fontId="8" fillId="5" borderId="13" numFmtId="164" xfId="1" applyNumberFormat="1" applyFont="1" applyFill="1" applyBorder="1" applyAlignment="1" applyProtection="1">
      <alignment horizontal="center" vertical="top"/>
      <protection locked="0"/>
    </xf>
    <xf fontId="8" fillId="5" borderId="14" numFmtId="164" xfId="1" applyNumberFormat="1" applyFont="1" applyFill="1" applyBorder="1" applyAlignment="1" applyProtection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6" activeCellId="0" sqref="A6"/>
    </sheetView>
  </sheetViews>
  <sheetFormatPr defaultColWidth="9.21875" defaultRowHeight="14.25"/>
  <cols>
    <col customWidth="1" min="1" max="1" style="2" width="5.21875"/>
    <col customWidth="1" min="2" max="2" style="2" width="10.77734375"/>
    <col customWidth="1" min="3" max="3" style="2" width="16.21875"/>
    <col customWidth="1" min="4" max="4" style="3" width="51.21875"/>
    <col bestFit="1" customWidth="1" min="5" max="5" style="4" width="9.6640625"/>
    <col bestFit="1" customWidth="1" min="6" max="6" style="5" width="9.6640625"/>
    <col customWidth="1" min="7" max="7" style="3" width="40.21875"/>
    <col customWidth="1" min="8" max="8" style="3" width="13.109375"/>
    <col customWidth="1" min="9" max="9" style="6" width="12.44140625"/>
    <col customWidth="1" min="10" max="10" style="1" width="7"/>
    <col customWidth="1" min="11" max="11" style="1" width="6.21875"/>
    <col customWidth="1" min="12" max="12" style="7" width="4.77734375"/>
    <col customWidth="1" min="13" max="13" style="2" width="6"/>
    <col customWidth="1" min="14" max="14" style="1" width="7.88671875"/>
    <col customWidth="1" min="15" max="15" style="1" width="8.21875"/>
    <col customWidth="1" min="16" max="16" style="1" width="7.6640625"/>
    <col min="17" max="16384" style="1" width="9.21875"/>
  </cols>
  <sheetData>
    <row r="1" ht="18.600000000000001" customHeight="1"/>
    <row r="2" s="8" customFormat="1" ht="21.600000000000001" customHeight="1">
      <c r="A2" s="9"/>
      <c r="B2" s="9"/>
      <c r="C2" s="10"/>
      <c r="D2" s="11"/>
      <c r="E2" s="11"/>
      <c r="F2" s="11"/>
      <c r="G2" s="11"/>
      <c r="H2" s="12"/>
      <c r="I2" s="13"/>
      <c r="L2" s="14"/>
      <c r="M2" s="9"/>
    </row>
    <row r="3" s="8" customFormat="1" ht="19.5">
      <c r="A3" s="9"/>
      <c r="B3" s="9"/>
      <c r="C3" s="10" t="s">
        <v>0</v>
      </c>
      <c r="D3" s="11" t="s">
        <v>1</v>
      </c>
      <c r="E3" s="15"/>
      <c r="F3" s="16"/>
      <c r="G3" s="12"/>
      <c r="H3" s="12"/>
      <c r="I3" s="13"/>
      <c r="L3" s="14"/>
      <c r="M3" s="9"/>
    </row>
    <row r="4" ht="7.2000000000000002" customHeight="1">
      <c r="C4" s="7"/>
      <c r="D4" s="17"/>
    </row>
    <row r="5" s="18" customFormat="1" ht="25.800000000000001" customHeight="1">
      <c r="A5" s="19"/>
      <c r="B5" s="20" t="s">
        <v>2</v>
      </c>
      <c r="C5" s="20"/>
      <c r="D5" s="20"/>
      <c r="E5" s="20"/>
      <c r="F5" s="20"/>
      <c r="G5" s="20"/>
      <c r="H5" s="20"/>
      <c r="I5" s="20"/>
      <c r="L5" s="21"/>
      <c r="M5" s="19"/>
    </row>
    <row r="6" s="18" customFormat="1">
      <c r="A6" s="19"/>
      <c r="B6" s="22" t="s">
        <v>3</v>
      </c>
      <c r="C6" s="23"/>
      <c r="D6" s="23"/>
      <c r="E6" s="24">
        <f>SUM(E13:E25)</f>
        <v>1</v>
      </c>
      <c r="F6" s="25" t="s">
        <v>4</v>
      </c>
      <c r="G6" s="25"/>
      <c r="H6" s="26">
        <f>8/40</f>
        <v>0.20000000000000001</v>
      </c>
      <c r="I6" s="27">
        <f>H7/H6</f>
        <v>0</v>
      </c>
      <c r="L6" s="21"/>
      <c r="M6" s="19"/>
    </row>
    <row r="7">
      <c r="B7" s="28"/>
      <c r="C7" s="29"/>
      <c r="D7" s="29"/>
      <c r="E7" s="30"/>
      <c r="F7" s="31" t="s">
        <v>5</v>
      </c>
      <c r="G7" s="31"/>
      <c r="H7" s="32">
        <f>SUM(I13:I25)</f>
        <v>0</v>
      </c>
      <c r="I7" s="33"/>
    </row>
    <row r="8">
      <c r="B8" s="28"/>
      <c r="C8" s="29"/>
      <c r="D8" s="29"/>
      <c r="E8" s="30"/>
      <c r="F8" s="31" t="s">
        <v>6</v>
      </c>
      <c r="G8" s="31"/>
      <c r="H8" s="34">
        <f>1*C12/5</f>
        <v>6.4000000000000004</v>
      </c>
      <c r="I8" s="35">
        <f>H9/H8</f>
        <v>0</v>
      </c>
    </row>
    <row r="9">
      <c r="B9" s="28"/>
      <c r="C9" s="29"/>
      <c r="D9" s="29"/>
      <c r="E9" s="30"/>
      <c r="F9" s="31" t="s">
        <v>7</v>
      </c>
      <c r="G9" s="31"/>
      <c r="H9" s="34">
        <f>SUM(I13:I25)</f>
        <v>0</v>
      </c>
      <c r="I9" s="35"/>
    </row>
    <row r="10" ht="15">
      <c r="B10" s="36" t="s">
        <v>8</v>
      </c>
      <c r="C10" s="37" t="s">
        <v>9</v>
      </c>
      <c r="D10" s="38" t="s">
        <v>10</v>
      </c>
      <c r="E10" s="37" t="s">
        <v>11</v>
      </c>
      <c r="F10" s="37" t="s">
        <v>12</v>
      </c>
      <c r="G10" s="38" t="s">
        <v>13</v>
      </c>
      <c r="H10" s="38" t="s">
        <v>14</v>
      </c>
      <c r="I10" s="39"/>
    </row>
    <row r="11">
      <c r="B11" s="36"/>
      <c r="C11" s="40"/>
      <c r="D11" s="38"/>
      <c r="E11" s="40"/>
      <c r="F11" s="40"/>
      <c r="G11" s="38"/>
      <c r="H11" s="37" t="s">
        <v>15</v>
      </c>
      <c r="I11" s="41" t="s">
        <v>16</v>
      </c>
    </row>
    <row r="12" ht="15">
      <c r="B12" s="36"/>
      <c r="C12" s="42">
        <f>SUM(C13:C25)</f>
        <v>32</v>
      </c>
      <c r="D12" s="38"/>
      <c r="E12" s="43">
        <f>SUM(E13:E25)</f>
        <v>1</v>
      </c>
      <c r="F12" s="43">
        <f>SUM(F13:F25)</f>
        <v>0</v>
      </c>
      <c r="G12" s="38"/>
      <c r="H12" s="40"/>
      <c r="I12" s="44"/>
    </row>
    <row r="13" ht="15">
      <c r="B13" s="45"/>
      <c r="C13" s="46">
        <v>1</v>
      </c>
      <c r="D13" s="47" t="s">
        <v>17</v>
      </c>
      <c r="E13" s="48">
        <f t="shared" ref="E13:F19" si="0">IF(H13="","",H13/SUM($H$13:$H$25))</f>
        <v>0.03125</v>
      </c>
      <c r="F13" s="48">
        <f>IF(I13="","",I13/SUM($H$13:H$25))</f>
        <v>0</v>
      </c>
      <c r="G13" s="49" t="s">
        <v>18</v>
      </c>
      <c r="H13" s="50">
        <f t="shared" ref="H13:H25" si="1">IF(C13="","",C13/40)</f>
        <v>0.025000000000000001</v>
      </c>
      <c r="I13" s="51">
        <f t="shared" ref="I13:I19" si="2">H13*0/100</f>
        <v>0</v>
      </c>
      <c r="L13" s="1"/>
      <c r="M13" s="1"/>
    </row>
    <row r="14" ht="15">
      <c r="B14" s="52"/>
      <c r="C14" s="46">
        <v>6</v>
      </c>
      <c r="D14" s="53" t="s">
        <v>19</v>
      </c>
      <c r="E14" s="48">
        <f t="shared" si="0"/>
        <v>0.18749999999999997</v>
      </c>
      <c r="F14" s="48">
        <f t="shared" si="0"/>
        <v>0</v>
      </c>
      <c r="G14" s="54"/>
      <c r="H14" s="50">
        <f t="shared" si="1"/>
        <v>0.14999999999999999</v>
      </c>
      <c r="I14" s="51">
        <f t="shared" si="2"/>
        <v>0</v>
      </c>
    </row>
    <row r="15" ht="15">
      <c r="B15" s="52"/>
      <c r="C15" s="46">
        <v>5</v>
      </c>
      <c r="D15" s="53" t="s">
        <v>20</v>
      </c>
      <c r="E15" s="48">
        <f t="shared" si="0"/>
        <v>0.15625</v>
      </c>
      <c r="F15" s="48">
        <f t="shared" si="0"/>
        <v>0</v>
      </c>
      <c r="G15" s="54"/>
      <c r="H15" s="50">
        <f t="shared" si="1"/>
        <v>0.125</v>
      </c>
      <c r="I15" s="51">
        <f t="shared" si="2"/>
        <v>0</v>
      </c>
    </row>
    <row r="16" ht="15">
      <c r="B16" s="45"/>
      <c r="C16" s="46">
        <v>4</v>
      </c>
      <c r="D16" s="47" t="s">
        <v>21</v>
      </c>
      <c r="E16" s="48">
        <f t="shared" si="0"/>
        <v>0.125</v>
      </c>
      <c r="F16" s="48">
        <f t="shared" si="0"/>
        <v>0</v>
      </c>
      <c r="G16" s="54"/>
      <c r="H16" s="50">
        <f t="shared" si="1"/>
        <v>0.10000000000000001</v>
      </c>
      <c r="I16" s="51">
        <f t="shared" si="2"/>
        <v>0</v>
      </c>
      <c r="L16" s="1"/>
      <c r="M16" s="1"/>
    </row>
    <row r="17" ht="15">
      <c r="B17" s="45"/>
      <c r="C17" s="46">
        <v>5</v>
      </c>
      <c r="D17" s="47" t="s">
        <v>22</v>
      </c>
      <c r="E17" s="48">
        <f t="shared" si="0"/>
        <v>0.15625</v>
      </c>
      <c r="F17" s="48">
        <f t="shared" si="0"/>
        <v>0</v>
      </c>
      <c r="G17" s="47"/>
      <c r="H17" s="50">
        <f t="shared" si="1"/>
        <v>0.125</v>
      </c>
      <c r="I17" s="51">
        <f t="shared" si="2"/>
        <v>0</v>
      </c>
      <c r="L17" s="1"/>
      <c r="M17" s="1"/>
    </row>
    <row r="18" ht="15">
      <c r="B18" s="45"/>
      <c r="C18" s="46">
        <v>6</v>
      </c>
      <c r="D18" s="47" t="s">
        <v>23</v>
      </c>
      <c r="E18" s="48">
        <f t="shared" si="0"/>
        <v>0.18749999999999997</v>
      </c>
      <c r="F18" s="48">
        <f t="shared" si="0"/>
        <v>0</v>
      </c>
      <c r="G18" s="47"/>
      <c r="H18" s="50">
        <f t="shared" si="1"/>
        <v>0.14999999999999999</v>
      </c>
      <c r="I18" s="51">
        <f t="shared" si="2"/>
        <v>0</v>
      </c>
      <c r="L18" s="1"/>
      <c r="M18" s="1"/>
    </row>
    <row r="19" ht="15">
      <c r="B19" s="45"/>
      <c r="C19" s="46">
        <v>5</v>
      </c>
      <c r="D19" s="47" t="s">
        <v>24</v>
      </c>
      <c r="E19" s="48">
        <f t="shared" si="0"/>
        <v>0.15625</v>
      </c>
      <c r="F19" s="48">
        <f t="shared" si="0"/>
        <v>0</v>
      </c>
      <c r="G19" s="47"/>
      <c r="H19" s="50">
        <f t="shared" si="1"/>
        <v>0.125</v>
      </c>
      <c r="I19" s="51">
        <f t="shared" si="2"/>
        <v>0</v>
      </c>
      <c r="L19" s="1"/>
      <c r="M19" s="1"/>
    </row>
    <row r="20">
      <c r="B20" s="45"/>
      <c r="C20" s="46"/>
      <c r="D20" s="47"/>
      <c r="E20" s="48"/>
      <c r="F20" s="48"/>
      <c r="G20" s="47"/>
      <c r="H20" s="50"/>
      <c r="I20" s="51"/>
      <c r="L20" s="1"/>
      <c r="M20" s="1"/>
    </row>
    <row r="21" ht="15">
      <c r="B21" s="45"/>
      <c r="C21" s="46"/>
      <c r="D21" s="55"/>
      <c r="E21" s="48"/>
      <c r="F21" s="48"/>
      <c r="G21" s="54"/>
      <c r="H21" s="50"/>
      <c r="I21" s="51"/>
      <c r="L21" s="1"/>
      <c r="M21" s="1"/>
    </row>
    <row r="22" ht="15">
      <c r="B22" s="45"/>
      <c r="C22" s="46"/>
      <c r="D22" s="56"/>
      <c r="E22" s="48"/>
      <c r="F22" s="48"/>
      <c r="G22" s="54"/>
      <c r="H22" s="57" t="str">
        <f t="shared" si="1"/>
        <v/>
      </c>
      <c r="I22" s="58"/>
      <c r="L22" s="1"/>
      <c r="M22" s="1"/>
    </row>
    <row r="23" ht="15">
      <c r="B23" s="45"/>
      <c r="C23" s="46"/>
      <c r="D23" s="56"/>
      <c r="E23" s="48" t="str">
        <f>IF(H23="","",H23/SUM(#REF!))</f>
        <v/>
      </c>
      <c r="F23" s="48" t="str">
        <f t="shared" ref="F23:F25" si="3">IF(I23="","",I23/SUM($H$13:$H$25))</f>
        <v/>
      </c>
      <c r="G23" s="54"/>
      <c r="H23" s="57" t="str">
        <f t="shared" si="1"/>
        <v/>
      </c>
      <c r="I23" s="58"/>
      <c r="L23" s="1"/>
      <c r="M23" s="1"/>
    </row>
    <row r="24">
      <c r="B24" s="45"/>
      <c r="C24" s="46"/>
      <c r="D24" s="54"/>
      <c r="E24" s="48" t="str">
        <f>IF(H24="","",H24/SUM(#REF!))</f>
        <v/>
      </c>
      <c r="F24" s="48" t="str">
        <f t="shared" si="3"/>
        <v/>
      </c>
      <c r="G24" s="54"/>
      <c r="H24" s="57" t="str">
        <f t="shared" si="1"/>
        <v/>
      </c>
      <c r="I24" s="58"/>
      <c r="L24" s="1"/>
      <c r="M24" s="1"/>
    </row>
    <row r="25">
      <c r="B25" s="45"/>
      <c r="C25" s="59"/>
      <c r="D25" s="54"/>
      <c r="E25" s="48"/>
      <c r="F25" s="48" t="str">
        <f t="shared" si="3"/>
        <v/>
      </c>
      <c r="G25" s="54"/>
      <c r="H25" s="57" t="str">
        <f t="shared" si="1"/>
        <v/>
      </c>
      <c r="I25" s="58"/>
      <c r="L25" s="1"/>
      <c r="M25" s="1"/>
    </row>
    <row r="26" ht="15">
      <c r="A26" s="60"/>
      <c r="B26" s="61"/>
      <c r="C26" s="62"/>
      <c r="D26" s="63"/>
      <c r="E26" s="64">
        <f>SUM(E13:E25)</f>
        <v>1</v>
      </c>
      <c r="F26" s="64">
        <f>SUM(F13:F25)</f>
        <v>0</v>
      </c>
      <c r="G26" s="63"/>
      <c r="H26" s="65"/>
      <c r="I26" s="66"/>
      <c r="L26" s="1"/>
      <c r="M26" s="1"/>
    </row>
    <row r="27">
      <c r="C27" s="18"/>
      <c r="D27" s="17"/>
      <c r="E27" s="17"/>
      <c r="F27" s="17"/>
    </row>
    <row r="28" ht="14.25">
      <c r="C28" s="2"/>
      <c r="D28" s="3"/>
      <c r="E28" s="4"/>
      <c r="F28" s="5"/>
    </row>
    <row r="29" ht="14.25">
      <c r="C29" s="2"/>
      <c r="D29" s="3"/>
      <c r="E29" s="4"/>
      <c r="F29" s="5"/>
    </row>
    <row r="30" ht="14.25">
      <c r="C30" s="2"/>
      <c r="D30" s="3"/>
      <c r="E30" s="4"/>
      <c r="F30" s="5"/>
    </row>
    <row r="31" ht="14.25">
      <c r="C31" s="2"/>
      <c r="D31" s="3"/>
      <c r="E31" s="4"/>
      <c r="F31" s="5"/>
    </row>
    <row r="32" ht="14.25">
      <c r="D32" s="3"/>
      <c r="E32" s="4"/>
      <c r="F32" s="5"/>
      <c r="G32" s="3"/>
      <c r="H32" s="3"/>
      <c r="I32" s="6"/>
    </row>
    <row r="33" ht="14.25">
      <c r="D33" s="3"/>
      <c r="E33" s="4"/>
      <c r="F33" s="5"/>
      <c r="G33" s="3"/>
      <c r="H33" s="3"/>
      <c r="I33" s="6"/>
    </row>
    <row r="34" ht="14.25">
      <c r="D34" s="3"/>
      <c r="E34" s="4"/>
      <c r="F34" s="5"/>
      <c r="G34" s="3"/>
      <c r="H34" s="3"/>
      <c r="I34" s="6"/>
    </row>
    <row r="35" ht="14.25">
      <c r="D35" s="3"/>
      <c r="E35" s="4"/>
      <c r="F35" s="5"/>
      <c r="G35" s="3"/>
      <c r="H35" s="3"/>
      <c r="I35" s="6"/>
    </row>
  </sheetData>
  <mergeCells count="20">
    <mergeCell ref="D2:G2"/>
    <mergeCell ref="B5:I5"/>
    <mergeCell ref="B6:D9"/>
    <mergeCell ref="E6:E9"/>
    <mergeCell ref="F6:G6"/>
    <mergeCell ref="I6:I7"/>
    <mergeCell ref="F7:G7"/>
    <mergeCell ref="F8:G8"/>
    <mergeCell ref="I8:I9"/>
    <mergeCell ref="F9:G9"/>
    <mergeCell ref="B10:B12"/>
    <mergeCell ref="C10:C11"/>
    <mergeCell ref="D10:D12"/>
    <mergeCell ref="E10:E11"/>
    <mergeCell ref="F10:F11"/>
    <mergeCell ref="G10:G12"/>
    <mergeCell ref="H10:I10"/>
    <mergeCell ref="H11:H12"/>
    <mergeCell ref="I11:I12"/>
    <mergeCell ref="D27:F2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2025-09-02T07:22:50Z</dcterms:created>
  <dcterms:modified xsi:type="dcterms:W3CDTF">2026-05-25T07:22:06Z</dcterms:modified>
</cp:coreProperties>
</file>